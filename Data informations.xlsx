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e48f3b8d767059f4/Documentos/Doutorado/Produções/2026/ENMC/"/>
    </mc:Choice>
  </mc:AlternateContent>
  <xr:revisionPtr revIDLastSave="4" documentId="8_{66986443-D952-400C-B5E9-CD82CCE283AB}" xr6:coauthVersionLast="47" xr6:coauthVersionMax="47" xr10:uidLastSave="{5BE89D01-4381-4956-B556-C01F2AC36AD8}"/>
  <bookViews>
    <workbookView xWindow="-120" yWindow="-120" windowWidth="20730" windowHeight="11040" activeTab="2" xr2:uid="{20E13B09-4DE3-42BB-A6A3-84942EBF5F2D}"/>
  </bookViews>
  <sheets>
    <sheet name="Sheet01" sheetId="4" r:id="rId1"/>
    <sheet name="Sheet02" sheetId="5" r:id="rId2"/>
    <sheet name="Sheet03" sheetId="6" r:id="rId3"/>
    <sheet name="Sheet04" sheetId="7" r:id="rId4"/>
    <sheet name="Sheet05"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4" l="1"/>
  <c r="E10" i="4"/>
  <c r="D9" i="4"/>
  <c r="D10" i="4"/>
  <c r="C9" i="4"/>
  <c r="C10" i="4"/>
  <c r="D8" i="4"/>
  <c r="C8" i="4"/>
  <c r="D11" i="8"/>
  <c r="D10" i="8"/>
  <c r="D9" i="8"/>
  <c r="A9" i="8"/>
  <c r="D8" i="8"/>
  <c r="A11" i="8" s="1"/>
  <c r="C8" i="8"/>
  <c r="A10" i="8" s="1"/>
  <c r="B8" i="8"/>
  <c r="C5" i="8"/>
  <c r="C11" i="8" s="1"/>
  <c r="B5" i="8"/>
  <c r="B11" i="8" s="1"/>
  <c r="A5" i="8"/>
  <c r="B4" i="8"/>
  <c r="A4" i="8"/>
  <c r="A3" i="8"/>
  <c r="C6" i="4"/>
  <c r="C7" i="4"/>
  <c r="C5" i="4"/>
  <c r="E8" i="4"/>
  <c r="E3" i="4"/>
  <c r="E4" i="4"/>
  <c r="E2" i="4"/>
  <c r="C3" i="4"/>
  <c r="D3" i="4"/>
  <c r="C4" i="4"/>
  <c r="D4" i="4"/>
  <c r="D2" i="4"/>
  <c r="C2" i="4"/>
  <c r="B8" i="4"/>
  <c r="B5" i="4"/>
  <c r="B2" i="4"/>
  <c r="A8" i="4"/>
  <c r="A5" i="4"/>
  <c r="A2" i="4"/>
  <c r="D11" i="7"/>
  <c r="A11" i="7"/>
  <c r="D10" i="7"/>
  <c r="A10" i="7"/>
  <c r="D9" i="7"/>
  <c r="D8" i="7"/>
  <c r="C8" i="7"/>
  <c r="B8" i="7"/>
  <c r="A9" i="7" s="1"/>
  <c r="C5" i="7"/>
  <c r="C11" i="7" s="1"/>
  <c r="B5" i="7"/>
  <c r="A5" i="7"/>
  <c r="B4" i="7"/>
  <c r="A4" i="7"/>
  <c r="A3" i="7"/>
  <c r="D10" i="6"/>
  <c r="D11" i="6"/>
  <c r="D8" i="6"/>
  <c r="A11" i="6" s="1"/>
  <c r="C8" i="6"/>
  <c r="A10" i="6" s="1"/>
  <c r="B8" i="6"/>
  <c r="A9" i="6" s="1"/>
  <c r="C5" i="6"/>
  <c r="C9" i="6" s="1"/>
  <c r="A5" i="6"/>
  <c r="A4" i="6"/>
  <c r="A3" i="6"/>
  <c r="B16" i="5"/>
  <c r="B15" i="5"/>
  <c r="D11" i="5"/>
  <c r="D10" i="5"/>
  <c r="C9" i="5"/>
  <c r="D9" i="5"/>
  <c r="C8" i="5"/>
  <c r="A10" i="5" s="1"/>
  <c r="D8" i="5"/>
  <c r="A11" i="5" s="1"/>
  <c r="B8" i="5"/>
  <c r="A9" i="5" s="1"/>
  <c r="C5" i="5"/>
  <c r="C11" i="5" s="1"/>
  <c r="B5" i="5"/>
  <c r="B11" i="5" s="1"/>
  <c r="A5" i="5"/>
  <c r="B4" i="5"/>
  <c r="A4" i="5"/>
  <c r="A3" i="5"/>
  <c r="C10" i="8" l="1"/>
  <c r="B10" i="8"/>
  <c r="E10" i="8" s="1"/>
  <c r="B9" i="8"/>
  <c r="C9" i="8"/>
  <c r="E11" i="8"/>
  <c r="C9" i="7"/>
  <c r="C10" i="7"/>
  <c r="B9" i="7"/>
  <c r="E9" i="7" s="1"/>
  <c r="D5" i="4" s="1"/>
  <c r="E5" i="4" s="1"/>
  <c r="B11" i="7"/>
  <c r="E11" i="7" s="1"/>
  <c r="D7" i="4" s="1"/>
  <c r="E7" i="4" s="1"/>
  <c r="B10" i="7"/>
  <c r="E10" i="7" s="1"/>
  <c r="C10" i="6"/>
  <c r="B4" i="6"/>
  <c r="D9" i="6"/>
  <c r="B5" i="6"/>
  <c r="B11" i="6" s="1"/>
  <c r="B9" i="6"/>
  <c r="C11" i="6"/>
  <c r="E11" i="6" s="1"/>
  <c r="B10" i="5"/>
  <c r="B9" i="5"/>
  <c r="E9" i="5" s="1"/>
  <c r="E11" i="5"/>
  <c r="C10" i="5"/>
  <c r="E9" i="8" l="1"/>
  <c r="B15" i="8" s="1"/>
  <c r="D15" i="8" s="1"/>
  <c r="F15" i="8" s="1"/>
  <c r="B16" i="8" s="1"/>
  <c r="B15" i="7"/>
  <c r="D15" i="7" s="1"/>
  <c r="F15" i="7" s="1"/>
  <c r="B16" i="7" s="1"/>
  <c r="D6" i="4"/>
  <c r="E6" i="4" s="1"/>
  <c r="E9" i="6"/>
  <c r="B10" i="6"/>
  <c r="E10" i="6" s="1"/>
  <c r="B15" i="6" s="1"/>
  <c r="D15" i="6" s="1"/>
  <c r="F15" i="6" s="1"/>
  <c r="B16" i="6" s="1"/>
  <c r="E10" i="5"/>
  <c r="D15" i="5" s="1"/>
  <c r="F15" i="5" s="1"/>
</calcChain>
</file>

<file path=xl/sharedStrings.xml><?xml version="1.0" encoding="utf-8"?>
<sst xmlns="http://schemas.openxmlformats.org/spreadsheetml/2006/main" count="53" uniqueCount="26">
  <si>
    <t>Criterion (Weight)</t>
  </si>
  <si>
    <t>Sub criterion (Weight)</t>
  </si>
  <si>
    <t>Final Weight</t>
  </si>
  <si>
    <t>CI</t>
  </si>
  <si>
    <t>CR</t>
  </si>
  <si>
    <t xml:space="preserve">Sub criterion </t>
  </si>
  <si>
    <t>Criterion</t>
  </si>
  <si>
    <t>Economic</t>
  </si>
  <si>
    <t>Environmental-social</t>
  </si>
  <si>
    <t>Technical-operational</t>
  </si>
  <si>
    <t>Pairwise comparison matrix of the criteria.</t>
  </si>
  <si>
    <t>Weight</t>
  </si>
  <si>
    <t>Normalized matrix of the criteria and weights.</t>
  </si>
  <si>
    <t>Consistency Ratio</t>
  </si>
  <si>
    <t>Consistency Index</t>
  </si>
  <si>
    <t>principal Eigen number</t>
  </si>
  <si>
    <t>Validation</t>
  </si>
  <si>
    <t>Pairwise comparison matrix of the subcriteria economic dimension.</t>
  </si>
  <si>
    <t>Normalized matrix of the subcriteria economic dimension and weights.</t>
  </si>
  <si>
    <t>Reuse</t>
  </si>
  <si>
    <t>Recycling</t>
  </si>
  <si>
    <t>Disposal</t>
  </si>
  <si>
    <t>Pairwise comparison matrix of the subcriteria environmental-social dimension.</t>
  </si>
  <si>
    <t>Normalized matrix of the subcriteria environmental-social dimension and weights.</t>
  </si>
  <si>
    <t>Pairwise comparison matrix of the subcriteria technical-operational dimension.</t>
  </si>
  <si>
    <t>Normalized matrix of the subcriteria technical-operational dimension and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</si>
</sst>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9" fontId="2" fillId="0" borderId="0" applyFont="0" applyFill="0" applyBorder="0" applyAlignment="0" applyProtection="0"/>
  </cellStyleXfs>
  <cellXfs count="35">
    <xf numFmtId="0" fontId="0" fillId="0" borderId="0" xfId="0"/>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64" fontId="0" fillId="0" borderId="5" xfId="0" applyNumberFormat="1" applyBorder="1"/>
    <xf numFmtId="164" fontId="0" fillId="0" borderId="7" xfId="0" applyNumberFormat="1" applyBorder="1"/>
    <xf numFmtId="164" fontId="0" fillId="0" borderId="8" xfId="0" applyNumberFormat="1" applyBorder="1"/>
    <xf numFmtId="164" fontId="0" fillId="0" borderId="7" xfId="0" applyNumberFormat="1" applyBorder="1" applyAlignment="1">
      <alignment horizontal="center"/>
    </xf>
    <xf numFmtId="0" fontId="1" fillId="0" borderId="7" xfId="0" applyFont="1" applyBorder="1"/>
    <xf numFmtId="10" fontId="0" fillId="0" borderId="8" xfId="1" applyNumberFormat="1" applyFont="1" applyBorder="1"/>
    <xf numFmtId="0" fontId="1" fillId="0" borderId="6" xfId="0" applyFont="1" applyBorder="1"/>
    <xf numFmtId="0" fontId="0" fillId="0" borderId="9" xfId="0" applyBorder="1" applyAlignment="1">
      <alignment horizontal="center"/>
    </xf>
    <xf numFmtId="0" fontId="0" fillId="0" borderId="10" xfId="0" applyBorder="1" applyAlignment="1">
      <alignment horizontal="center"/>
    </xf>
    <xf numFmtId="0" fontId="0" fillId="0" borderId="1" xfId="0" applyBorder="1"/>
    <xf numFmtId="0" fontId="0" fillId="0" borderId="2" xfId="0" applyBorder="1"/>
    <xf numFmtId="0" fontId="0" fillId="0" borderId="3" xfId="0" applyBorder="1"/>
    <xf numFmtId="164" fontId="0" fillId="0" borderId="0" xfId="0" applyNumberFormat="1"/>
    <xf numFmtId="0" fontId="0" fillId="0" borderId="9" xfId="0" applyBorder="1" applyAlignment="1">
      <alignment horizontal="left"/>
    </xf>
    <xf numFmtId="164" fontId="0" fillId="0" borderId="0" xfId="0" applyNumberFormat="1" applyAlignment="1">
      <alignment horizontal="center" vertical="center"/>
    </xf>
    <xf numFmtId="0" fontId="0" fillId="0" borderId="0" xfId="0" applyAlignment="1">
      <alignment horizontal="center" vertical="center"/>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0" fillId="0" borderId="5" xfId="0" applyNumberFormat="1" applyBorder="1" applyAlignment="1">
      <alignment horizontal="center" vertical="center"/>
    </xf>
    <xf numFmtId="164" fontId="0" fillId="0" borderId="7" xfId="0" applyNumberFormat="1" applyBorder="1" applyAlignment="1">
      <alignment horizontal="center" vertical="center"/>
    </xf>
    <xf numFmtId="0" fontId="0" fillId="0" borderId="7" xfId="0" applyBorder="1" applyAlignment="1">
      <alignment horizontal="center" vertical="center"/>
    </xf>
    <xf numFmtId="164" fontId="0" fillId="0" borderId="8" xfId="0" applyNumberFormat="1" applyBorder="1" applyAlignment="1">
      <alignment horizontal="center" vertical="center"/>
    </xf>
    <xf numFmtId="0" fontId="1" fillId="0" borderId="13" xfId="0" applyFont="1" applyBorder="1" applyAlignment="1">
      <alignment horizontal="center" vertical="center" wrapText="1"/>
    </xf>
    <xf numFmtId="0" fontId="1" fillId="0" borderId="1"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vertical="center"/>
    </xf>
    <xf numFmtId="164" fontId="0" fillId="0" borderId="0" xfId="0" applyNumberFormat="1" applyAlignment="1">
      <alignment horizontal="center" vertical="center"/>
    </xf>
    <xf numFmtId="0" fontId="0" fillId="0" borderId="6" xfId="0" applyBorder="1" applyAlignment="1">
      <alignment horizontal="center" vertical="center"/>
    </xf>
    <xf numFmtId="164" fontId="0" fillId="0" borderId="7" xfId="0" applyNumberFormat="1" applyBorder="1" applyAlignment="1">
      <alignment horizontal="center" vertical="center"/>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295275</xdr:colOff>
      <xdr:row>14</xdr:row>
      <xdr:rowOff>180975</xdr:rowOff>
    </xdr:to>
    <xdr:pic>
      <xdr:nvPicPr>
        <xdr:cNvPr id="2" name="Imagem 1">
          <a:extLst>
            <a:ext uri="{FF2B5EF4-FFF2-40B4-BE49-F238E27FC236}">
              <a16:creationId xmlns:a16="http://schemas.microsoft.com/office/drawing/2014/main" id="{7127E12B-6CA4-4D81-B680-DA9DB38B83CF}"/>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3476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3" name="Imagem 2">
          <a:extLst>
            <a:ext uri="{FF2B5EF4-FFF2-40B4-BE49-F238E27FC236}">
              <a16:creationId xmlns:a16="http://schemas.microsoft.com/office/drawing/2014/main" id="{D5937E71-9675-41E8-A790-B519990367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3476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4" name="Imagem 3">
          <a:extLst>
            <a:ext uri="{FF2B5EF4-FFF2-40B4-BE49-F238E27FC236}">
              <a16:creationId xmlns:a16="http://schemas.microsoft.com/office/drawing/2014/main" id="{8D1B324A-6008-4115-9E04-943CC44C258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9600" y="3476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295275</xdr:colOff>
      <xdr:row>14</xdr:row>
      <xdr:rowOff>180975</xdr:rowOff>
    </xdr:to>
    <xdr:pic>
      <xdr:nvPicPr>
        <xdr:cNvPr id="2" name="Imagem 1">
          <a:extLst>
            <a:ext uri="{FF2B5EF4-FFF2-40B4-BE49-F238E27FC236}">
              <a16:creationId xmlns:a16="http://schemas.microsoft.com/office/drawing/2014/main" id="{60F64C60-D93B-4660-9C58-4AED35F6AB3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3" name="Imagem 2">
          <a:extLst>
            <a:ext uri="{FF2B5EF4-FFF2-40B4-BE49-F238E27FC236}">
              <a16:creationId xmlns:a16="http://schemas.microsoft.com/office/drawing/2014/main" id="{EC2C7D09-E733-4A7F-9004-6B66B92FFA5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4" name="Imagem 3">
          <a:extLst>
            <a:ext uri="{FF2B5EF4-FFF2-40B4-BE49-F238E27FC236}">
              <a16:creationId xmlns:a16="http://schemas.microsoft.com/office/drawing/2014/main" id="{2322E6C7-146C-4FC4-BD36-F3B37B3D15B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295275</xdr:colOff>
      <xdr:row>14</xdr:row>
      <xdr:rowOff>180975</xdr:rowOff>
    </xdr:to>
    <xdr:pic>
      <xdr:nvPicPr>
        <xdr:cNvPr id="2" name="Imagem 1">
          <a:extLst>
            <a:ext uri="{FF2B5EF4-FFF2-40B4-BE49-F238E27FC236}">
              <a16:creationId xmlns:a16="http://schemas.microsoft.com/office/drawing/2014/main" id="{7571B571-28C5-4C15-88DE-7998F3473C1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3" name="Imagem 2">
          <a:extLst>
            <a:ext uri="{FF2B5EF4-FFF2-40B4-BE49-F238E27FC236}">
              <a16:creationId xmlns:a16="http://schemas.microsoft.com/office/drawing/2014/main" id="{8B6DDFFE-3D1C-4BFD-B514-9DA400E92CE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4" name="Imagem 3">
          <a:extLst>
            <a:ext uri="{FF2B5EF4-FFF2-40B4-BE49-F238E27FC236}">
              <a16:creationId xmlns:a16="http://schemas.microsoft.com/office/drawing/2014/main" id="{E85E4072-896A-4BD6-89A1-8EDD6F7F838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0</xdr:rowOff>
    </xdr:from>
    <xdr:to>
      <xdr:col>0</xdr:col>
      <xdr:colOff>295275</xdr:colOff>
      <xdr:row>14</xdr:row>
      <xdr:rowOff>180975</xdr:rowOff>
    </xdr:to>
    <xdr:pic>
      <xdr:nvPicPr>
        <xdr:cNvPr id="2" name="Imagem 1">
          <a:extLst>
            <a:ext uri="{FF2B5EF4-FFF2-40B4-BE49-F238E27FC236}">
              <a16:creationId xmlns:a16="http://schemas.microsoft.com/office/drawing/2014/main" id="{637AAC6A-C3E0-4FB5-9F3D-26A7791E13A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3" name="Imagem 2">
          <a:extLst>
            <a:ext uri="{FF2B5EF4-FFF2-40B4-BE49-F238E27FC236}">
              <a16:creationId xmlns:a16="http://schemas.microsoft.com/office/drawing/2014/main" id="{F7522451-61B4-4B12-AA43-375C740B34D1}"/>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14</xdr:row>
      <xdr:rowOff>0</xdr:rowOff>
    </xdr:from>
    <xdr:to>
      <xdr:col>0</xdr:col>
      <xdr:colOff>295275</xdr:colOff>
      <xdr:row>14</xdr:row>
      <xdr:rowOff>180975</xdr:rowOff>
    </xdr:to>
    <xdr:pic>
      <xdr:nvPicPr>
        <xdr:cNvPr id="4" name="Imagem 3">
          <a:extLst>
            <a:ext uri="{FF2B5EF4-FFF2-40B4-BE49-F238E27FC236}">
              <a16:creationId xmlns:a16="http://schemas.microsoft.com/office/drawing/2014/main" id="{13954140-1A53-4725-9ED9-1F6880C2F872}"/>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14625"/>
          <a:ext cx="2952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35205-9250-4113-8E14-5334595DA133}">
  <dimension ref="A1:E10"/>
  <sheetViews>
    <sheetView workbookViewId="0">
      <selection activeCell="B2" sqref="B2:B4"/>
    </sheetView>
  </sheetViews>
  <sheetFormatPr defaultRowHeight="15" x14ac:dyDescent="0.25"/>
  <cols>
    <col min="1" max="1" width="20.5703125" bestFit="1" customWidth="1"/>
    <col min="2" max="2" width="11" customWidth="1"/>
    <col min="3" max="3" width="12.7109375" bestFit="1" customWidth="1"/>
    <col min="4" max="4" width="14" customWidth="1"/>
    <col min="5" max="5" width="10.5703125" bestFit="1" customWidth="1"/>
  </cols>
  <sheetData>
    <row r="1" spans="1:5" ht="30" x14ac:dyDescent="0.25">
      <c r="A1" s="22" t="s">
        <v>6</v>
      </c>
      <c r="B1" s="23" t="s">
        <v>0</v>
      </c>
      <c r="C1" s="23" t="s">
        <v>5</v>
      </c>
      <c r="D1" s="23" t="s">
        <v>1</v>
      </c>
      <c r="E1" s="28" t="s">
        <v>2</v>
      </c>
    </row>
    <row r="2" spans="1:5" ht="15" customHeight="1" x14ac:dyDescent="0.25">
      <c r="A2" s="31" t="str">
        <f>Sheet02!A3</f>
        <v>Economic</v>
      </c>
      <c r="B2" s="32">
        <f>Sheet02!E9</f>
        <v>0.65548654244306415</v>
      </c>
      <c r="C2" s="21" t="str">
        <f>Sheet03!A3</f>
        <v>Reuse</v>
      </c>
      <c r="D2" s="20">
        <f>Sheet03!E9</f>
        <v>0.72350605721266426</v>
      </c>
      <c r="E2" s="24">
        <f>$B$2*D2</f>
        <v>0.47424848387894303</v>
      </c>
    </row>
    <row r="3" spans="1:5" x14ac:dyDescent="0.25">
      <c r="A3" s="31"/>
      <c r="B3" s="32"/>
      <c r="C3" s="21" t="str">
        <f>Sheet03!A4</f>
        <v>Recycling</v>
      </c>
      <c r="D3" s="20">
        <f>Sheet03!E10</f>
        <v>0.19318605992738133</v>
      </c>
      <c r="E3" s="24">
        <f t="shared" ref="E3:E4" si="0">$B$2*D3</f>
        <v>0.12663086246999777</v>
      </c>
    </row>
    <row r="4" spans="1:5" x14ac:dyDescent="0.25">
      <c r="A4" s="31"/>
      <c r="B4" s="32"/>
      <c r="C4" s="21" t="str">
        <f>Sheet03!A5</f>
        <v>Disposal</v>
      </c>
      <c r="D4" s="20">
        <f>Sheet03!E11</f>
        <v>8.3307882859954524E-2</v>
      </c>
      <c r="E4" s="24">
        <f t="shared" si="0"/>
        <v>5.46071960941234E-2</v>
      </c>
    </row>
    <row r="5" spans="1:5" ht="15" customHeight="1" x14ac:dyDescent="0.25">
      <c r="A5" s="31" t="str">
        <f>Sheet02!A4</f>
        <v>Environmental-social</v>
      </c>
      <c r="B5" s="32">
        <f>Sheet02!E10</f>
        <v>0.18674948240165631</v>
      </c>
      <c r="C5" s="21" t="str">
        <f>Sheet04!A9</f>
        <v>Reuse</v>
      </c>
      <c r="D5" s="20">
        <f>Sheet04!E9</f>
        <v>0.66886446886446882</v>
      </c>
      <c r="E5" s="24">
        <f>$B$5*D5</f>
        <v>0.12491009335729832</v>
      </c>
    </row>
    <row r="6" spans="1:5" x14ac:dyDescent="0.25">
      <c r="A6" s="31"/>
      <c r="B6" s="32"/>
      <c r="C6" s="21" t="str">
        <f>Sheet04!A10</f>
        <v>Recycling</v>
      </c>
      <c r="D6" s="20">
        <f>Sheet04!E10</f>
        <v>0.26739926739926739</v>
      </c>
      <c r="E6" s="24">
        <f t="shared" ref="E6:E7" si="1">$B$5*D6</f>
        <v>4.9936674781395275E-2</v>
      </c>
    </row>
    <row r="7" spans="1:5" x14ac:dyDescent="0.25">
      <c r="A7" s="31"/>
      <c r="B7" s="32"/>
      <c r="C7" s="21" t="str">
        <f>Sheet04!A11</f>
        <v>Disposal</v>
      </c>
      <c r="D7" s="20">
        <f>Sheet04!E11</f>
        <v>6.3736263736263732E-2</v>
      </c>
      <c r="E7" s="24">
        <f t="shared" si="1"/>
        <v>1.1902714262962709E-2</v>
      </c>
    </row>
    <row r="8" spans="1:5" ht="15" customHeight="1" x14ac:dyDescent="0.25">
      <c r="A8" s="31" t="str">
        <f>Sheet02!A5</f>
        <v>Technical-operational</v>
      </c>
      <c r="B8" s="32">
        <f>Sheet02!E11</f>
        <v>0.15776397515527951</v>
      </c>
      <c r="C8" s="21" t="str">
        <f>Sheet05!A3</f>
        <v>Reuse</v>
      </c>
      <c r="D8" s="20">
        <f>Sheet05!E9</f>
        <v>0.43527583527583524</v>
      </c>
      <c r="E8" s="24">
        <f>$B$8*D8</f>
        <v>6.8670846062150404E-2</v>
      </c>
    </row>
    <row r="9" spans="1:5" x14ac:dyDescent="0.25">
      <c r="A9" s="31"/>
      <c r="B9" s="32"/>
      <c r="C9" s="21" t="str">
        <f>Sheet05!A4</f>
        <v>Recycling</v>
      </c>
      <c r="D9" s="20">
        <f>Sheet05!E10</f>
        <v>0.48655788655788657</v>
      </c>
      <c r="E9" s="24">
        <f t="shared" ref="E9:E10" si="2">$B$8*D9</f>
        <v>7.6761306326523726E-2</v>
      </c>
    </row>
    <row r="10" spans="1:5" ht="15.75" thickBot="1" x14ac:dyDescent="0.3">
      <c r="A10" s="33"/>
      <c r="B10" s="34"/>
      <c r="C10" s="26" t="str">
        <f>Sheet05!A5</f>
        <v>Disposal</v>
      </c>
      <c r="D10" s="25">
        <f>Sheet05!E11</f>
        <v>7.8166278166278177E-2</v>
      </c>
      <c r="E10" s="27">
        <f t="shared" si="2"/>
        <v>1.2331822766605377E-2</v>
      </c>
    </row>
  </sheetData>
  <mergeCells count="6">
    <mergeCell ref="A2:A4"/>
    <mergeCell ref="B2:B4"/>
    <mergeCell ref="A5:A7"/>
    <mergeCell ref="B5:B7"/>
    <mergeCell ref="A8:A10"/>
    <mergeCell ref="B8:B10"/>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07F56-5092-4A4C-B2B5-BAB0F4EBA473}">
  <dimension ref="A1:F16"/>
  <sheetViews>
    <sheetView workbookViewId="0">
      <selection activeCell="A3" sqref="A3"/>
    </sheetView>
  </sheetViews>
  <sheetFormatPr defaultRowHeight="15" x14ac:dyDescent="0.25"/>
  <cols>
    <col min="1" max="1" width="11.85546875" customWidth="1"/>
  </cols>
  <sheetData>
    <row r="1" spans="1:6" ht="15.75" thickBot="1" x14ac:dyDescent="0.3">
      <c r="A1" t="s">
        <v>10</v>
      </c>
    </row>
    <row r="2" spans="1:6" x14ac:dyDescent="0.25">
      <c r="A2" s="15"/>
      <c r="B2" s="16" t="s">
        <v>7</v>
      </c>
      <c r="C2" s="16" t="s">
        <v>8</v>
      </c>
      <c r="D2" s="17" t="s">
        <v>9</v>
      </c>
    </row>
    <row r="3" spans="1:6" x14ac:dyDescent="0.25">
      <c r="A3" s="1" t="str">
        <f>B2</f>
        <v>Economic</v>
      </c>
      <c r="B3">
        <v>1</v>
      </c>
      <c r="C3">
        <v>3</v>
      </c>
      <c r="D3" s="2">
        <v>5</v>
      </c>
    </row>
    <row r="4" spans="1:6" x14ac:dyDescent="0.25">
      <c r="A4" s="1" t="str">
        <f>C2</f>
        <v>Environmental-social</v>
      </c>
      <c r="B4">
        <f>1/C3</f>
        <v>0.33333333333333331</v>
      </c>
      <c r="C4">
        <v>1</v>
      </c>
      <c r="D4" s="2">
        <v>1</v>
      </c>
    </row>
    <row r="5" spans="1:6" ht="15.75" thickBot="1" x14ac:dyDescent="0.3">
      <c r="A5" s="3" t="str">
        <f>D2</f>
        <v>Technical-operational</v>
      </c>
      <c r="B5" s="4">
        <f>1/D3</f>
        <v>0.2</v>
      </c>
      <c r="C5" s="4">
        <f>1/D4</f>
        <v>1</v>
      </c>
      <c r="D5" s="5">
        <v>1</v>
      </c>
    </row>
    <row r="7" spans="1:6" ht="15.75" thickBot="1" x14ac:dyDescent="0.3">
      <c r="A7" t="s">
        <v>12</v>
      </c>
    </row>
    <row r="8" spans="1:6" x14ac:dyDescent="0.25">
      <c r="A8" s="15"/>
      <c r="B8" s="16" t="str">
        <f>B2</f>
        <v>Economic</v>
      </c>
      <c r="C8" s="16" t="str">
        <f t="shared" ref="C8:D8" si="0">C2</f>
        <v>Environmental-social</v>
      </c>
      <c r="D8" s="16" t="str">
        <f t="shared" si="0"/>
        <v>Technical-operational</v>
      </c>
      <c r="E8" s="17" t="s">
        <v>11</v>
      </c>
    </row>
    <row r="9" spans="1:6" x14ac:dyDescent="0.25">
      <c r="A9" s="1" t="str">
        <f>B8</f>
        <v>Economic</v>
      </c>
      <c r="B9" s="18">
        <f>B3/SUM(B3:B5)</f>
        <v>0.65217391304347827</v>
      </c>
      <c r="C9" s="18">
        <f t="shared" ref="C9:D9" si="1">C3/SUM(C3:C5)</f>
        <v>0.6</v>
      </c>
      <c r="D9" s="18">
        <f t="shared" si="1"/>
        <v>0.7142857142857143</v>
      </c>
      <c r="E9" s="6">
        <f>SUM(B9:D9)/3</f>
        <v>0.65548654244306415</v>
      </c>
    </row>
    <row r="10" spans="1:6" x14ac:dyDescent="0.25">
      <c r="A10" s="1" t="str">
        <f>C8</f>
        <v>Environmental-social</v>
      </c>
      <c r="B10" s="18">
        <f>B4/SUM(B3:B5)</f>
        <v>0.21739130434782608</v>
      </c>
      <c r="C10" s="18">
        <f t="shared" ref="C10:D10" si="2">C4/SUM(C3:C5)</f>
        <v>0.2</v>
      </c>
      <c r="D10" s="18">
        <f t="shared" si="2"/>
        <v>0.14285714285714285</v>
      </c>
      <c r="E10" s="6">
        <f>SUM(B10:D10)/3</f>
        <v>0.18674948240165631</v>
      </c>
    </row>
    <row r="11" spans="1:6" ht="15.75" thickBot="1" x14ac:dyDescent="0.3">
      <c r="A11" s="3" t="str">
        <f>D8</f>
        <v>Technical-operational</v>
      </c>
      <c r="B11" s="7">
        <f>B5/SUM(B3:B5)</f>
        <v>0.13043478260869568</v>
      </c>
      <c r="C11" s="7">
        <f t="shared" ref="C11:D11" si="3">C5/SUM(C3:C5)</f>
        <v>0.2</v>
      </c>
      <c r="D11" s="7">
        <f t="shared" si="3"/>
        <v>0.14285714285714285</v>
      </c>
      <c r="E11" s="8">
        <f>SUM(B11:D11)/3</f>
        <v>0.15776397515527951</v>
      </c>
    </row>
    <row r="13" spans="1:6" ht="15.75" thickBot="1" x14ac:dyDescent="0.3"/>
    <row r="14" spans="1:6" x14ac:dyDescent="0.25">
      <c r="A14" s="29" t="s">
        <v>15</v>
      </c>
      <c r="B14" s="30"/>
      <c r="C14" s="29" t="s">
        <v>14</v>
      </c>
      <c r="D14" s="30"/>
      <c r="E14" s="29" t="s">
        <v>13</v>
      </c>
      <c r="F14" s="30"/>
    </row>
    <row r="15" spans="1:6" ht="15.75" thickBot="1" x14ac:dyDescent="0.3">
      <c r="A15" s="3"/>
      <c r="B15" s="9">
        <f>(E9*SUM(B3:B5))+(E10*SUM(C3:C5))+(E11*SUM(D3:D5))</f>
        <v>3.0431746031746032</v>
      </c>
      <c r="C15" s="3" t="s">
        <v>3</v>
      </c>
      <c r="D15" s="8">
        <f>(B15-3)/(3-1)</f>
        <v>2.1587301587301599E-2</v>
      </c>
      <c r="E15" s="10" t="s">
        <v>4</v>
      </c>
      <c r="F15" s="11">
        <f>D15/0.58</f>
        <v>3.7219485495347586E-2</v>
      </c>
    </row>
    <row r="16" spans="1:6" ht="15.75" thickBot="1" x14ac:dyDescent="0.3">
      <c r="A16" s="12" t="s">
        <v>16</v>
      </c>
      <c r="B16" s="19" t="str">
        <f>IF(F15&lt;0.1,"Pairwise comparison matrix of the criteria is valid, and the weights of the criteria are listed in Normalized matrix of the criteria and weights","Pairwise comparison matrix of the criteria isn't valid")</f>
        <v>Pairwise comparison matrix of the criteria is valid, and the weights of the criteria are listed in Normalized matrix of the criteria and weights</v>
      </c>
      <c r="C16" s="13"/>
      <c r="D16" s="13"/>
      <c r="E16" s="13"/>
      <c r="F16" s="14"/>
    </row>
  </sheetData>
  <mergeCells count="3">
    <mergeCell ref="A14:B14"/>
    <mergeCell ref="C14:D14"/>
    <mergeCell ref="E14:F14"/>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4410-8DC1-4870-BACF-37C309DE0874}">
  <dimension ref="A1:F16"/>
  <sheetViews>
    <sheetView tabSelected="1" workbookViewId="0">
      <selection activeCell="H12" sqref="H12"/>
    </sheetView>
  </sheetViews>
  <sheetFormatPr defaultRowHeight="15" x14ac:dyDescent="0.25"/>
  <cols>
    <col min="1" max="1" width="11.85546875" customWidth="1"/>
  </cols>
  <sheetData>
    <row r="1" spans="1:6" ht="15.75" thickBot="1" x14ac:dyDescent="0.3">
      <c r="A1" t="s">
        <v>17</v>
      </c>
    </row>
    <row r="2" spans="1:6" x14ac:dyDescent="0.25">
      <c r="A2" s="15"/>
      <c r="B2" s="16" t="s">
        <v>19</v>
      </c>
      <c r="C2" s="16" t="s">
        <v>20</v>
      </c>
      <c r="D2" s="17" t="s">
        <v>21</v>
      </c>
    </row>
    <row r="3" spans="1:6" x14ac:dyDescent="0.25">
      <c r="A3" s="1" t="str">
        <f>B2</f>
        <v>Reuse</v>
      </c>
      <c r="B3">
        <v>1</v>
      </c>
      <c r="C3">
        <v>5</v>
      </c>
      <c r="D3" s="2">
        <v>7</v>
      </c>
    </row>
    <row r="4" spans="1:6" x14ac:dyDescent="0.25">
      <c r="A4" s="1" t="str">
        <f>C2</f>
        <v>Recycling</v>
      </c>
      <c r="B4">
        <f>1/C3</f>
        <v>0.2</v>
      </c>
      <c r="C4">
        <v>1</v>
      </c>
      <c r="D4" s="2">
        <v>3</v>
      </c>
    </row>
    <row r="5" spans="1:6" ht="15.75" thickBot="1" x14ac:dyDescent="0.3">
      <c r="A5" s="3" t="str">
        <f>D2</f>
        <v>Disposal</v>
      </c>
      <c r="B5" s="4">
        <f>1/D3</f>
        <v>0.14285714285714285</v>
      </c>
      <c r="C5" s="4">
        <f>1/D4</f>
        <v>0.33333333333333331</v>
      </c>
      <c r="D5" s="5">
        <v>1</v>
      </c>
    </row>
    <row r="7" spans="1:6" ht="15.75" thickBot="1" x14ac:dyDescent="0.3">
      <c r="A7" t="s">
        <v>18</v>
      </c>
    </row>
    <row r="8" spans="1:6" x14ac:dyDescent="0.25">
      <c r="A8" s="15"/>
      <c r="B8" s="16" t="str">
        <f>B2</f>
        <v>Reuse</v>
      </c>
      <c r="C8" s="16" t="str">
        <f t="shared" ref="C8:D8" si="0">C2</f>
        <v>Recycling</v>
      </c>
      <c r="D8" s="16" t="str">
        <f t="shared" si="0"/>
        <v>Disposal</v>
      </c>
      <c r="E8" s="17" t="s">
        <v>11</v>
      </c>
    </row>
    <row r="9" spans="1:6" x14ac:dyDescent="0.25">
      <c r="A9" s="1" t="str">
        <f>B8</f>
        <v>Reuse</v>
      </c>
      <c r="B9" s="18">
        <f>B3/SUM(B3:B5)</f>
        <v>0.74468085106382986</v>
      </c>
      <c r="C9" s="18">
        <f t="shared" ref="C9:D9" si="1">C3/SUM(C3:C5)</f>
        <v>0.78947368421052633</v>
      </c>
      <c r="D9" s="18">
        <f t="shared" si="1"/>
        <v>0.63636363636363635</v>
      </c>
      <c r="E9" s="6">
        <f>SUM(B9:D9)/3</f>
        <v>0.72350605721266426</v>
      </c>
    </row>
    <row r="10" spans="1:6" x14ac:dyDescent="0.25">
      <c r="A10" s="1" t="str">
        <f>C8</f>
        <v>Recycling</v>
      </c>
      <c r="B10" s="18">
        <f>B4/SUM(B3:B5)</f>
        <v>0.14893617021276598</v>
      </c>
      <c r="C10" s="18">
        <f t="shared" ref="C10:D10" si="2">C4/SUM(C3:C5)</f>
        <v>0.15789473684210528</v>
      </c>
      <c r="D10" s="18">
        <f t="shared" si="2"/>
        <v>0.27272727272727271</v>
      </c>
      <c r="E10" s="6">
        <f>SUM(B10:D10)/3</f>
        <v>0.19318605992738133</v>
      </c>
    </row>
    <row r="11" spans="1:6" ht="15.75" thickBot="1" x14ac:dyDescent="0.3">
      <c r="A11" s="3" t="str">
        <f>D8</f>
        <v>Disposal</v>
      </c>
      <c r="B11" s="7">
        <f>B5/SUM(B3:B5)</f>
        <v>0.10638297872340426</v>
      </c>
      <c r="C11" s="7">
        <f t="shared" ref="C11:D11" si="3">C5/SUM(C3:C5)</f>
        <v>5.2631578947368418E-2</v>
      </c>
      <c r="D11" s="7">
        <f t="shared" si="3"/>
        <v>9.0909090909090912E-2</v>
      </c>
      <c r="E11" s="8">
        <f>SUM(B11:D11)/3</f>
        <v>8.3307882859954524E-2</v>
      </c>
    </row>
    <row r="13" spans="1:6" ht="15.75" thickBot="1" x14ac:dyDescent="0.3"/>
    <row r="14" spans="1:6" x14ac:dyDescent="0.25">
      <c r="A14" s="29" t="s">
        <v>15</v>
      </c>
      <c r="B14" s="30"/>
      <c r="C14" s="29" t="s">
        <v>14</v>
      </c>
      <c r="D14" s="30"/>
      <c r="E14" s="29" t="s">
        <v>13</v>
      </c>
      <c r="F14" s="30"/>
    </row>
    <row r="15" spans="1:6" ht="15.75" thickBot="1" x14ac:dyDescent="0.3">
      <c r="A15" s="3"/>
      <c r="B15" s="9">
        <f>(E9*SUM(B3:B5))+(E10*SUM(C3:C5))+(E11*SUM(D3:D5))</f>
        <v>3.1114637011613495</v>
      </c>
      <c r="C15" s="3" t="s">
        <v>3</v>
      </c>
      <c r="D15" s="8">
        <f>(B15-3)/(3-1)</f>
        <v>5.5731850580674758E-2</v>
      </c>
      <c r="E15" s="10" t="s">
        <v>4</v>
      </c>
      <c r="F15" s="11">
        <f>D15/0.58</f>
        <v>9.608939755288752E-2</v>
      </c>
    </row>
    <row r="16" spans="1:6" ht="15.75" thickBot="1" x14ac:dyDescent="0.3">
      <c r="A16" s="12" t="s">
        <v>16</v>
      </c>
      <c r="B16" s="19" t="str">
        <f>IF(F15&lt;0.1,"Pairwise comparison matrix of the criteria is valid, and the weights of the criteria are listed in Normalized matrix of the criteria and weights","Pairwise comparison matrix of the criteria isn't valid")</f>
        <v>Pairwise comparison matrix of the criteria is valid, and the weights of the criteria are listed in Normalized matrix of the criteria and weights</v>
      </c>
      <c r="C16" s="13"/>
      <c r="D16" s="13"/>
      <c r="E16" s="13"/>
      <c r="F16" s="14"/>
    </row>
  </sheetData>
  <mergeCells count="3">
    <mergeCell ref="A14:B14"/>
    <mergeCell ref="C14:D14"/>
    <mergeCell ref="E14:F14"/>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D9DB9-3C35-48E7-8B31-8A581ED195BB}">
  <dimension ref="A1:F16"/>
  <sheetViews>
    <sheetView workbookViewId="0">
      <selection activeCell="D9" sqref="D9"/>
    </sheetView>
  </sheetViews>
  <sheetFormatPr defaultRowHeight="15" x14ac:dyDescent="0.25"/>
  <cols>
    <col min="1" max="1" width="11.85546875" customWidth="1"/>
  </cols>
  <sheetData>
    <row r="1" spans="1:6" ht="15.75" thickBot="1" x14ac:dyDescent="0.3">
      <c r="A1" t="s">
        <v>22</v>
      </c>
    </row>
    <row r="2" spans="1:6" x14ac:dyDescent="0.25">
      <c r="A2" s="15"/>
      <c r="B2" s="16" t="s">
        <v>19</v>
      </c>
      <c r="C2" s="16" t="s">
        <v>20</v>
      </c>
      <c r="D2" s="17" t="s">
        <v>21</v>
      </c>
    </row>
    <row r="3" spans="1:6" x14ac:dyDescent="0.25">
      <c r="A3" s="1" t="str">
        <f>B2</f>
        <v>Reuse</v>
      </c>
      <c r="B3">
        <v>1</v>
      </c>
      <c r="C3">
        <v>3</v>
      </c>
      <c r="D3" s="2">
        <v>9</v>
      </c>
    </row>
    <row r="4" spans="1:6" x14ac:dyDescent="0.25">
      <c r="A4" s="1" t="str">
        <f>C2</f>
        <v>Recycling</v>
      </c>
      <c r="B4">
        <f>1/C3</f>
        <v>0.33333333333333331</v>
      </c>
      <c r="C4">
        <v>1</v>
      </c>
      <c r="D4" s="2">
        <v>5</v>
      </c>
    </row>
    <row r="5" spans="1:6" ht="15.75" thickBot="1" x14ac:dyDescent="0.3">
      <c r="A5" s="3" t="str">
        <f>D2</f>
        <v>Disposal</v>
      </c>
      <c r="B5" s="4">
        <f>1/D3</f>
        <v>0.1111111111111111</v>
      </c>
      <c r="C5" s="4">
        <f>1/D4</f>
        <v>0.2</v>
      </c>
      <c r="D5" s="5">
        <v>1</v>
      </c>
    </row>
    <row r="7" spans="1:6" ht="15.75" thickBot="1" x14ac:dyDescent="0.3">
      <c r="A7" t="s">
        <v>23</v>
      </c>
    </row>
    <row r="8" spans="1:6" x14ac:dyDescent="0.25">
      <c r="A8" s="15"/>
      <c r="B8" s="16" t="str">
        <f>B2</f>
        <v>Reuse</v>
      </c>
      <c r="C8" s="16" t="str">
        <f t="shared" ref="C8:D8" si="0">C2</f>
        <v>Recycling</v>
      </c>
      <c r="D8" s="16" t="str">
        <f t="shared" si="0"/>
        <v>Disposal</v>
      </c>
      <c r="E8" s="17" t="s">
        <v>11</v>
      </c>
    </row>
    <row r="9" spans="1:6" x14ac:dyDescent="0.25">
      <c r="A9" s="1" t="str">
        <f>B8</f>
        <v>Reuse</v>
      </c>
      <c r="B9" s="18">
        <f>B3/SUM(B3:B5)</f>
        <v>0.69230769230769229</v>
      </c>
      <c r="C9" s="18">
        <f t="shared" ref="C9:D9" si="1">C3/SUM(C3:C5)</f>
        <v>0.7142857142857143</v>
      </c>
      <c r="D9" s="18">
        <f t="shared" si="1"/>
        <v>0.6</v>
      </c>
      <c r="E9" s="6">
        <f>SUM(B9:D9)/3</f>
        <v>0.66886446886446882</v>
      </c>
    </row>
    <row r="10" spans="1:6" x14ac:dyDescent="0.25">
      <c r="A10" s="1" t="str">
        <f>C8</f>
        <v>Recycling</v>
      </c>
      <c r="B10" s="18">
        <f>B4/SUM(B3:B5)</f>
        <v>0.23076923076923075</v>
      </c>
      <c r="C10" s="18">
        <f t="shared" ref="C10:D10" si="2">C4/SUM(C3:C5)</f>
        <v>0.23809523809523808</v>
      </c>
      <c r="D10" s="18">
        <f t="shared" si="2"/>
        <v>0.33333333333333331</v>
      </c>
      <c r="E10" s="6">
        <f>SUM(B10:D10)/3</f>
        <v>0.26739926739926739</v>
      </c>
    </row>
    <row r="11" spans="1:6" ht="15.75" thickBot="1" x14ac:dyDescent="0.3">
      <c r="A11" s="3" t="str">
        <f>D8</f>
        <v>Disposal</v>
      </c>
      <c r="B11" s="7">
        <f>B5/SUM(B3:B5)</f>
        <v>7.6923076923076913E-2</v>
      </c>
      <c r="C11" s="7">
        <f t="shared" ref="C11:D11" si="3">C5/SUM(C3:C5)</f>
        <v>4.7619047619047616E-2</v>
      </c>
      <c r="D11" s="7">
        <f t="shared" si="3"/>
        <v>6.6666666666666666E-2</v>
      </c>
      <c r="E11" s="8">
        <f>SUM(B11:D11)/3</f>
        <v>6.3736263736263732E-2</v>
      </c>
    </row>
    <row r="13" spans="1:6" ht="15.75" thickBot="1" x14ac:dyDescent="0.3"/>
    <row r="14" spans="1:6" x14ac:dyDescent="0.25">
      <c r="A14" s="29" t="s">
        <v>15</v>
      </c>
      <c r="B14" s="30"/>
      <c r="C14" s="29" t="s">
        <v>14</v>
      </c>
      <c r="D14" s="30"/>
      <c r="E14" s="29" t="s">
        <v>13</v>
      </c>
      <c r="F14" s="30"/>
    </row>
    <row r="15" spans="1:6" ht="15.75" thickBot="1" x14ac:dyDescent="0.3">
      <c r="A15" s="3"/>
      <c r="B15" s="9">
        <f>(E9*SUM(B3:B5))+(E10*SUM(C3:C5))+(E11*SUM(D3:D5))</f>
        <v>3.0452584452584448</v>
      </c>
      <c r="C15" s="3" t="s">
        <v>3</v>
      </c>
      <c r="D15" s="8">
        <f>(B15-3)/(3-1)</f>
        <v>2.2629222629222401E-2</v>
      </c>
      <c r="E15" s="10" t="s">
        <v>4</v>
      </c>
      <c r="F15" s="11">
        <f>D15/0.58</f>
        <v>3.901590108486621E-2</v>
      </c>
    </row>
    <row r="16" spans="1:6" ht="15.75" thickBot="1" x14ac:dyDescent="0.3">
      <c r="A16" s="12" t="s">
        <v>16</v>
      </c>
      <c r="B16" s="19" t="str">
        <f>IF(F15&lt;0.1,"Pairwise comparison matrix of the criteria is valid, and the weights of the criteria are listed in Normalized matrix of the criteria and weights","Pairwise comparison matrix of the criteria isn't valid")</f>
        <v>Pairwise comparison matrix of the criteria is valid, and the weights of the criteria are listed in Normalized matrix of the criteria and weights</v>
      </c>
      <c r="C16" s="13"/>
      <c r="D16" s="13"/>
      <c r="E16" s="13"/>
      <c r="F16" s="14"/>
    </row>
  </sheetData>
  <mergeCells count="3">
    <mergeCell ref="A14:B14"/>
    <mergeCell ref="C14:D14"/>
    <mergeCell ref="E14:F14"/>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525E-312E-46E2-871C-F5E4C7151091}">
  <dimension ref="A1:F16"/>
  <sheetViews>
    <sheetView workbookViewId="0">
      <selection activeCell="F15" sqref="F15"/>
    </sheetView>
  </sheetViews>
  <sheetFormatPr defaultRowHeight="15" x14ac:dyDescent="0.25"/>
  <cols>
    <col min="1" max="1" width="11.85546875" customWidth="1"/>
  </cols>
  <sheetData>
    <row r="1" spans="1:6" ht="15.75" thickBot="1" x14ac:dyDescent="0.3">
      <c r="A1" t="s">
        <v>24</v>
      </c>
    </row>
    <row r="2" spans="1:6" x14ac:dyDescent="0.25">
      <c r="A2" s="15"/>
      <c r="B2" s="16" t="s">
        <v>19</v>
      </c>
      <c r="C2" s="16" t="s">
        <v>20</v>
      </c>
      <c r="D2" s="17" t="s">
        <v>21</v>
      </c>
    </row>
    <row r="3" spans="1:6" x14ac:dyDescent="0.25">
      <c r="A3" s="1" t="str">
        <f>B2</f>
        <v>Reuse</v>
      </c>
      <c r="B3">
        <v>1</v>
      </c>
      <c r="C3">
        <v>1</v>
      </c>
      <c r="D3" s="2">
        <v>5</v>
      </c>
    </row>
    <row r="4" spans="1:6" x14ac:dyDescent="0.25">
      <c r="A4" s="1" t="str">
        <f>C2</f>
        <v>Recycling</v>
      </c>
      <c r="B4">
        <f>1/C3</f>
        <v>1</v>
      </c>
      <c r="C4">
        <v>1</v>
      </c>
      <c r="D4" s="2">
        <v>7</v>
      </c>
    </row>
    <row r="5" spans="1:6" ht="15.75" thickBot="1" x14ac:dyDescent="0.3">
      <c r="A5" s="3" t="str">
        <f>D2</f>
        <v>Disposal</v>
      </c>
      <c r="B5" s="4">
        <f>1/D3</f>
        <v>0.2</v>
      </c>
      <c r="C5" s="4">
        <f>1/D4</f>
        <v>0.14285714285714285</v>
      </c>
      <c r="D5" s="5">
        <v>1</v>
      </c>
    </row>
    <row r="7" spans="1:6" ht="15.75" thickBot="1" x14ac:dyDescent="0.3">
      <c r="A7" t="s">
        <v>25</v>
      </c>
    </row>
    <row r="8" spans="1:6" x14ac:dyDescent="0.25">
      <c r="A8" s="15"/>
      <c r="B8" s="16" t="str">
        <f>B2</f>
        <v>Reuse</v>
      </c>
      <c r="C8" s="16" t="str">
        <f t="shared" ref="C8:D8" si="0">C2</f>
        <v>Recycling</v>
      </c>
      <c r="D8" s="16" t="str">
        <f t="shared" si="0"/>
        <v>Disposal</v>
      </c>
      <c r="E8" s="17" t="s">
        <v>11</v>
      </c>
    </row>
    <row r="9" spans="1:6" x14ac:dyDescent="0.25">
      <c r="A9" s="1" t="str">
        <f>B8</f>
        <v>Reuse</v>
      </c>
      <c r="B9" s="18">
        <f>B3/SUM(B3:B5)</f>
        <v>0.45454545454545453</v>
      </c>
      <c r="C9" s="18">
        <f t="shared" ref="C9:D9" si="1">C3/SUM(C3:C5)</f>
        <v>0.46666666666666667</v>
      </c>
      <c r="D9" s="18">
        <f t="shared" si="1"/>
        <v>0.38461538461538464</v>
      </c>
      <c r="E9" s="6">
        <f>SUM(B9:D9)/3</f>
        <v>0.43527583527583524</v>
      </c>
    </row>
    <row r="10" spans="1:6" x14ac:dyDescent="0.25">
      <c r="A10" s="1" t="str">
        <f>C8</f>
        <v>Recycling</v>
      </c>
      <c r="B10" s="18">
        <f>B4/SUM(B3:B5)</f>
        <v>0.45454545454545453</v>
      </c>
      <c r="C10" s="18">
        <f t="shared" ref="C10:D10" si="2">C4/SUM(C3:C5)</f>
        <v>0.46666666666666667</v>
      </c>
      <c r="D10" s="18">
        <f t="shared" si="2"/>
        <v>0.53846153846153844</v>
      </c>
      <c r="E10" s="6">
        <f>SUM(B10:D10)/3</f>
        <v>0.48655788655788657</v>
      </c>
    </row>
    <row r="11" spans="1:6" ht="15.75" thickBot="1" x14ac:dyDescent="0.3">
      <c r="A11" s="3" t="str">
        <f>D8</f>
        <v>Disposal</v>
      </c>
      <c r="B11" s="7">
        <f>B5/SUM(B3:B5)</f>
        <v>9.0909090909090912E-2</v>
      </c>
      <c r="C11" s="7">
        <f t="shared" ref="C11:D11" si="3">C5/SUM(C3:C5)</f>
        <v>6.6666666666666666E-2</v>
      </c>
      <c r="D11" s="7">
        <f t="shared" si="3"/>
        <v>7.6923076923076927E-2</v>
      </c>
      <c r="E11" s="8">
        <f>SUM(B11:D11)/3</f>
        <v>7.8166278166278177E-2</v>
      </c>
    </row>
    <row r="13" spans="1:6" ht="15.75" thickBot="1" x14ac:dyDescent="0.3"/>
    <row r="14" spans="1:6" x14ac:dyDescent="0.25">
      <c r="A14" s="29" t="s">
        <v>15</v>
      </c>
      <c r="B14" s="30"/>
      <c r="C14" s="29" t="s">
        <v>14</v>
      </c>
      <c r="D14" s="30"/>
      <c r="E14" s="29" t="s">
        <v>13</v>
      </c>
      <c r="F14" s="30"/>
    </row>
    <row r="15" spans="1:6" ht="15.75" thickBot="1" x14ac:dyDescent="0.3">
      <c r="A15" s="3"/>
      <c r="B15" s="9">
        <f>(E9*SUM(B3:B5))+(E10*SUM(C3:C5))+(E11*SUM(D3:D5))</f>
        <v>3.0163924963924966</v>
      </c>
      <c r="C15" s="3" t="s">
        <v>3</v>
      </c>
      <c r="D15" s="8">
        <f>(B15-3)/(3-1)</f>
        <v>8.1962481962483125E-3</v>
      </c>
      <c r="E15" s="10" t="s">
        <v>4</v>
      </c>
      <c r="F15" s="11">
        <f>D15/0.58</f>
        <v>1.4131462407324678E-2</v>
      </c>
    </row>
    <row r="16" spans="1:6" ht="15.75" thickBot="1" x14ac:dyDescent="0.3">
      <c r="A16" s="12" t="s">
        <v>16</v>
      </c>
      <c r="B16" s="19" t="str">
        <f>IF(F15&lt;0.1,"Pairwise comparison matrix of the criteria is valid, and the weights of the criteria are listed in Normalized matrix of the criteria and weights","Pairwise comparison matrix of the criteria isn't valid")</f>
        <v>Pairwise comparison matrix of the criteria is valid, and the weights of the criteria are listed in Normalized matrix of the criteria and weights</v>
      </c>
      <c r="C16" s="13"/>
      <c r="D16" s="13"/>
      <c r="E16" s="13"/>
      <c r="F16" s="14"/>
    </row>
  </sheetData>
  <mergeCells count="3">
    <mergeCell ref="A14:B14"/>
    <mergeCell ref="C14:D14"/>
    <mergeCell ref="E14:F14"/>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Sheet01</vt:lpstr>
      <vt:lpstr>Sheet02</vt:lpstr>
      <vt:lpstr>Sheet03</vt:lpstr>
      <vt:lpstr>Sheet04</vt:lpstr>
      <vt:lpstr>Sheet05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Filipe C. Brito</dc:creator>
  <cp:lastModifiedBy>Filipe C. Brito</cp:lastModifiedBy>
  <dcterms:created xsi:type="dcterms:W3CDTF">2025-08-11T17:41:25Z</dcterms:created>
  <dcterms:modified xsi:type="dcterms:W3CDTF">2026-05-29T23:37:13Z</dcterms:modified>
</cp:coreProperties>
</file>